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Laptop\Downloads\HN-KS26-CNTT2_MiniProject_Infrastructure\data\"/>
    </mc:Choice>
  </mc:AlternateContent>
  <xr:revisionPtr revIDLastSave="0" documentId="13_ncr:1_{83787573-090D-4987-AC70-E1DEB9641928}" xr6:coauthVersionLast="47" xr6:coauthVersionMax="47" xr10:uidLastSave="{00000000-0000-0000-0000-000000000000}"/>
  <bookViews>
    <workbookView xWindow="-120" yWindow="-120" windowWidth="29040" windowHeight="15720" activeTab="1" xr2:uid="{F87852C5-CD36-40D2-9976-8EA86E475772}"/>
  </bookViews>
  <sheets>
    <sheet name="danh-muc-linh-kien" sheetId="1" r:id="rId1"/>
    <sheet name="trang-thai-t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2" i="2"/>
</calcChain>
</file>

<file path=xl/sharedStrings.xml><?xml version="1.0" encoding="utf-8"?>
<sst xmlns="http://schemas.openxmlformats.org/spreadsheetml/2006/main" count="44" uniqueCount="31">
  <si>
    <t>ma_linh_kien</t>
  </si>
  <si>
    <t>ten_thiet_bi</t>
  </si>
  <si>
    <t>don_gia</t>
  </si>
  <si>
    <t>loai_storage (SSD/HDD)</t>
  </si>
  <si>
    <t>ma_tram</t>
  </si>
  <si>
    <t>dung_luong_ram</t>
  </si>
  <si>
    <t>ngay_lap_dat</t>
  </si>
  <si>
    <t>Trạm Cảm biến A1</t>
  </si>
  <si>
    <t>Trạm Cảm biến B2</t>
  </si>
  <si>
    <t>Gateway Trung tâm</t>
  </si>
  <si>
    <t>1,200,000</t>
  </si>
  <si>
    <t>2,100,000</t>
  </si>
  <si>
    <t>4,500,000</t>
  </si>
  <si>
    <t>SSD</t>
  </si>
  <si>
    <t>TRAM_001</t>
  </si>
  <si>
    <t>TRAM_002</t>
  </si>
  <si>
    <t>TRAM_003</t>
  </si>
  <si>
    <t>TRAM_004</t>
  </si>
  <si>
    <t>TRAM_005</t>
  </si>
  <si>
    <t>LK001</t>
  </si>
  <si>
    <t>LK002</t>
  </si>
  <si>
    <t>LK003</t>
  </si>
  <si>
    <t>LK004</t>
  </si>
  <si>
    <t>LK005</t>
  </si>
  <si>
    <t>8 GB</t>
  </si>
  <si>
    <t>16 GB</t>
  </si>
  <si>
    <t>32 GB</t>
  </si>
  <si>
    <t>Trạm Cảm biến B3</t>
  </si>
  <si>
    <t>1,200,001</t>
  </si>
  <si>
    <t>2,100,001</t>
  </si>
  <si>
    <t>Gateway Trung tâm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</si>
</sst>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0A61-DC5E-414D-BB17-CD5975FB81B9}">
  <dimension ref="A1:D6"/>
  <sheetViews>
    <sheetView workbookViewId="0">
      <selection activeCell="B6" sqref="B6"/>
    </sheetView>
  </sheetViews>
  <sheetFormatPr defaultRowHeight="15" x14ac:dyDescent="0.25"/>
  <cols>
    <col min="1" max="1" width="12.7109375" bestFit="1" customWidth="1"/>
    <col min="2" max="2" width="19.42578125" bestFit="1" customWidth="1"/>
    <col min="3" max="3" width="9.140625" bestFit="1" customWidth="1"/>
    <col min="4" max="4" width="2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19</v>
      </c>
      <c r="B2" t="s">
        <v>7</v>
      </c>
      <c r="C2" t="s">
        <v>10</v>
      </c>
      <c r="D2" t="s">
        <v>13</v>
      </c>
    </row>
    <row r="3" spans="1:4" x14ac:dyDescent="0.25">
      <c r="A3" t="s">
        <v>20</v>
      </c>
      <c r="B3" t="s">
        <v>8</v>
      </c>
      <c r="C3" t="s">
        <v>11</v>
      </c>
      <c r="D3" t="s">
        <v>13</v>
      </c>
    </row>
    <row r="4" spans="1:4" x14ac:dyDescent="0.25">
      <c r="A4" t="s">
        <v>21</v>
      </c>
      <c r="B4" t="s">
        <v>9</v>
      </c>
      <c r="C4" t="s">
        <v>12</v>
      </c>
      <c r="D4" t="s">
        <v>13</v>
      </c>
    </row>
    <row r="5" spans="1:4" x14ac:dyDescent="0.25">
      <c r="A5" t="s">
        <v>22</v>
      </c>
      <c r="B5" t="s">
        <v>27</v>
      </c>
      <c r="C5" t="s">
        <v>28</v>
      </c>
      <c r="D5" t="s">
        <v>13</v>
      </c>
    </row>
    <row r="6" spans="1:4" x14ac:dyDescent="0.25">
      <c r="A6" t="s">
        <v>23</v>
      </c>
      <c r="B6" t="s">
        <v>30</v>
      </c>
      <c r="C6" t="s">
        <v>29</v>
      </c>
      <c r="D6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AD82-F520-41FB-B13F-663E9ED767AF}">
  <dimension ref="A1:E6"/>
  <sheetViews>
    <sheetView tabSelected="1" workbookViewId="0">
      <selection activeCell="O24" sqref="O24"/>
    </sheetView>
  </sheetViews>
  <sheetFormatPr defaultRowHeight="15" x14ac:dyDescent="0.25"/>
  <cols>
    <col min="1" max="1" width="9.7109375" bestFit="1" customWidth="1"/>
    <col min="2" max="2" width="12.7109375" bestFit="1" customWidth="1"/>
    <col min="3" max="3" width="19.42578125" bestFit="1" customWidth="1"/>
    <col min="4" max="4" width="15.85546875" bestFit="1" customWidth="1"/>
    <col min="5" max="5" width="12.57031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</row>
    <row r="2" spans="1:5" x14ac:dyDescent="0.25">
      <c r="A2" t="s">
        <v>14</v>
      </c>
      <c r="B2" t="s">
        <v>19</v>
      </c>
      <c r="C2" t="str">
        <f>VLOOKUP(TRIM(B2),'danh-muc-linh-kien'!$A$2:$D$6,2,0)</f>
        <v>Trạm Cảm biến A1</v>
      </c>
      <c r="D2" t="s">
        <v>24</v>
      </c>
      <c r="E2" s="1">
        <v>46037</v>
      </c>
    </row>
    <row r="3" spans="1:5" x14ac:dyDescent="0.25">
      <c r="A3" t="s">
        <v>15</v>
      </c>
      <c r="B3" t="s">
        <v>20</v>
      </c>
      <c r="C3" t="str">
        <f>VLOOKUP(TRIM(B3),'danh-muc-linh-kien'!$A$2:$D$6,2,0)</f>
        <v>Trạm Cảm biến B2</v>
      </c>
      <c r="D3" t="s">
        <v>25</v>
      </c>
      <c r="E3" s="1">
        <v>46073</v>
      </c>
    </row>
    <row r="4" spans="1:5" x14ac:dyDescent="0.25">
      <c r="A4" t="s">
        <v>16</v>
      </c>
      <c r="B4" t="s">
        <v>21</v>
      </c>
      <c r="C4" t="str">
        <f>VLOOKUP(TRIM(B4),'danh-muc-linh-kien'!$A$2:$D$6,2,0)</f>
        <v>Gateway Trung tâm</v>
      </c>
      <c r="D4" t="s">
        <v>26</v>
      </c>
      <c r="E4" s="1">
        <v>46109</v>
      </c>
    </row>
    <row r="5" spans="1:5" x14ac:dyDescent="0.25">
      <c r="A5" t="s">
        <v>17</v>
      </c>
      <c r="B5" t="s">
        <v>22</v>
      </c>
      <c r="C5" t="str">
        <f>VLOOKUP(TRIM(B5),'danh-muc-linh-kien'!$A$2:$D$6,2,0)</f>
        <v>Trạm Cảm biến B3</v>
      </c>
      <c r="D5" t="s">
        <v>24</v>
      </c>
      <c r="E5" s="1">
        <v>46145</v>
      </c>
    </row>
    <row r="6" spans="1:5" x14ac:dyDescent="0.25">
      <c r="A6" t="s">
        <v>18</v>
      </c>
      <c r="B6" t="s">
        <v>23</v>
      </c>
      <c r="C6" t="str">
        <f>VLOOKUP(TRIM(B6),'danh-muc-linh-kien'!$A$2:$D$6,2,0)</f>
        <v>Gateway Trung tâm 2</v>
      </c>
      <c r="D6" t="s">
        <v>25</v>
      </c>
      <c r="E6" s="1">
        <v>46181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xclanwar pro</dc:creator>
  <cp:lastModifiedBy>xclanwar pro</cp:lastModifiedBy>
  <dcterms:created xsi:type="dcterms:W3CDTF">2026-10-23T06:20:42Z</dcterms:created>
  <dcterms:modified xsi:type="dcterms:W3CDTF">2026-10-23T06:52:53Z</dcterms:modified>
</cp:coreProperties>
</file>